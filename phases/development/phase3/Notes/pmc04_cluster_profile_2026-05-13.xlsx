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n/Serve/phases/development/phase3/Incoming/"/>
    </mc:Choice>
  </mc:AlternateContent>
  <xr:revisionPtr revIDLastSave="0" documentId="13_ncr:1_{B47A4BA5-6ECA-9A48-A853-AFAC20028AEE}" xr6:coauthVersionLast="47" xr6:coauthVersionMax="47" xr10:uidLastSave="{00000000-0000-0000-0000-000000000000}"/>
  <bookViews>
    <workbookView xWindow="32820" yWindow="940" windowWidth="38120" windowHeight="17180" xr2:uid="{F1793135-6DA5-4942-9194-4C394E2F6F98}"/>
  </bookViews>
  <sheets>
    <sheet name="pmc04_cluster_profile_status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G11" i="1"/>
  <c r="G9" i="1"/>
</calcChain>
</file>

<file path=xl/sharedStrings.xml><?xml version="1.0" encoding="utf-8"?>
<sst xmlns="http://schemas.openxmlformats.org/spreadsheetml/2006/main" count="97" uniqueCount="49">
  <si>
    <t>Node</t>
  </si>
  <si>
    <t>Ram</t>
  </si>
  <si>
    <t>iLOs</t>
  </si>
  <si>
    <t>msb-pmc04-01</t>
  </si>
  <si>
    <t>msb-pmc04-02</t>
  </si>
  <si>
    <t>msb-pmc04-03</t>
  </si>
  <si>
    <t>msb-pmc04-04</t>
  </si>
  <si>
    <t>msb-pmc04-05</t>
  </si>
  <si>
    <t>msb-pmc04-06</t>
  </si>
  <si>
    <t>ZFS</t>
  </si>
  <si>
    <t>OSD</t>
  </si>
  <si>
    <t>3x600GB</t>
  </si>
  <si>
    <t>5x900GB</t>
  </si>
  <si>
    <t>OSD Totals</t>
  </si>
  <si>
    <t>3x1200GB</t>
  </si>
  <si>
    <t>5x1200GB</t>
  </si>
  <si>
    <t>3x300GB</t>
  </si>
  <si>
    <t>17x1200GB</t>
  </si>
  <si>
    <t>21x1200GB</t>
  </si>
  <si>
    <t>10.1.32.162</t>
  </si>
  <si>
    <t>10.1.32.199</t>
  </si>
  <si>
    <t>10.1.32.172</t>
  </si>
  <si>
    <t>10.1.32.232</t>
  </si>
  <si>
    <t>10.1.32.58</t>
  </si>
  <si>
    <t>TO DO</t>
  </si>
  <si>
    <t>Austin: install 10/25 fibre, cable, test</t>
  </si>
  <si>
    <t>Sean: install 10/25 fibre, cable, test</t>
  </si>
  <si>
    <t>Rohn: Label</t>
  </si>
  <si>
    <t xml:space="preserve">Sean: install 10/25 fibre, cable, test; </t>
  </si>
  <si>
    <t>Rohn: install 3x900GB drives</t>
  </si>
  <si>
    <t xml:space="preserve">TO DO </t>
  </si>
  <si>
    <t>Rohn: install 1.2TB drive</t>
  </si>
  <si>
    <t>Racked?</t>
  </si>
  <si>
    <t>Yes</t>
  </si>
  <si>
    <t>4x900GB</t>
  </si>
  <si>
    <t>PubIP</t>
  </si>
  <si>
    <t>Sean: Configure ILO</t>
  </si>
  <si>
    <t>(all integers are GigaBytes)</t>
  </si>
  <si>
    <t>160GB</t>
  </si>
  <si>
    <t>96GB</t>
  </si>
  <si>
    <t>128gb</t>
  </si>
  <si>
    <t xml:space="preserve">Production Cluster </t>
  </si>
  <si>
    <t xml:space="preserve">Development Cluster </t>
  </si>
  <si>
    <t>Not Yet Assigned</t>
  </si>
  <si>
    <t>10.1.37.58</t>
  </si>
  <si>
    <t>Sean: Assign Public Ips to 10/25 interface</t>
  </si>
  <si>
    <t>MSB-PMC04 Promox Cluster.</t>
  </si>
  <si>
    <t>1 Cluster supporting Development and Production Cluster</t>
  </si>
  <si>
    <t>All NODES in VLAN37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</si>
</sst>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A384-EA38-494D-B6AF-67884A6F615D}">
  <dimension ref="A2:N16"/>
  <sheetViews>
    <sheetView tabSelected="1" workbookViewId="0">
      <selection activeCell="H6" sqref="H6"/>
    </sheetView>
  </sheetViews>
  <sheetFormatPr baseColWidth="10" defaultRowHeight="16" x14ac:dyDescent="0.2"/>
  <cols>
    <col min="1" max="1" width="13.33203125" bestFit="1" customWidth="1"/>
    <col min="2" max="2" width="13.33203125" customWidth="1"/>
    <col min="8" max="8" width="13.33203125" bestFit="1" customWidth="1"/>
    <col min="10" max="11" width="34.5" customWidth="1"/>
    <col min="12" max="12" width="24.33203125" customWidth="1"/>
    <col min="14" max="14" width="11" customWidth="1"/>
  </cols>
  <sheetData>
    <row r="2" spans="1:14" x14ac:dyDescent="0.2">
      <c r="F2" t="s">
        <v>46</v>
      </c>
    </row>
    <row r="3" spans="1:14" x14ac:dyDescent="0.2">
      <c r="F3" t="s">
        <v>37</v>
      </c>
    </row>
    <row r="4" spans="1:14" x14ac:dyDescent="0.2">
      <c r="F4" t="s">
        <v>47</v>
      </c>
    </row>
    <row r="5" spans="1:14" x14ac:dyDescent="0.2">
      <c r="F5" t="s">
        <v>48</v>
      </c>
    </row>
    <row r="6" spans="1:14" x14ac:dyDescent="0.2">
      <c r="A6" t="s">
        <v>42</v>
      </c>
    </row>
    <row r="7" spans="1:14" x14ac:dyDescent="0.2">
      <c r="A7" t="s">
        <v>0</v>
      </c>
      <c r="B7" t="s">
        <v>32</v>
      </c>
      <c r="C7" t="s">
        <v>1</v>
      </c>
      <c r="D7" t="s">
        <v>9</v>
      </c>
      <c r="E7" t="s">
        <v>10</v>
      </c>
      <c r="F7" t="s">
        <v>10</v>
      </c>
      <c r="G7" t="s">
        <v>13</v>
      </c>
      <c r="H7" t="s">
        <v>35</v>
      </c>
      <c r="I7" t="s">
        <v>2</v>
      </c>
      <c r="J7" t="s">
        <v>24</v>
      </c>
      <c r="K7" t="s">
        <v>24</v>
      </c>
      <c r="L7" t="s">
        <v>30</v>
      </c>
      <c r="M7" t="s">
        <v>24</v>
      </c>
      <c r="N7" t="s">
        <v>24</v>
      </c>
    </row>
    <row r="8" spans="1:14" x14ac:dyDescent="0.2">
      <c r="A8" t="s">
        <v>3</v>
      </c>
      <c r="B8" t="s">
        <v>33</v>
      </c>
      <c r="C8" t="s">
        <v>38</v>
      </c>
      <c r="D8" t="s">
        <v>11</v>
      </c>
      <c r="E8" t="s">
        <v>15</v>
      </c>
      <c r="G8">
        <v>6000</v>
      </c>
      <c r="H8" t="s">
        <v>43</v>
      </c>
      <c r="I8" t="s">
        <v>19</v>
      </c>
      <c r="J8" t="s">
        <v>25</v>
      </c>
      <c r="K8" t="s">
        <v>45</v>
      </c>
      <c r="N8" t="s">
        <v>27</v>
      </c>
    </row>
    <row r="9" spans="1:14" x14ac:dyDescent="0.2">
      <c r="A9" t="s">
        <v>4</v>
      </c>
      <c r="B9" t="s">
        <v>33</v>
      </c>
      <c r="C9" t="s">
        <v>38</v>
      </c>
      <c r="D9" t="s">
        <v>11</v>
      </c>
      <c r="E9" t="s">
        <v>14</v>
      </c>
      <c r="F9" t="s">
        <v>12</v>
      </c>
      <c r="G9">
        <f>SUM(3600+4500)</f>
        <v>8100</v>
      </c>
      <c r="H9" t="s">
        <v>43</v>
      </c>
      <c r="I9" t="s">
        <v>20</v>
      </c>
      <c r="J9" t="s">
        <v>25</v>
      </c>
      <c r="K9" t="s">
        <v>45</v>
      </c>
      <c r="N9" t="s">
        <v>27</v>
      </c>
    </row>
    <row r="10" spans="1:14" x14ac:dyDescent="0.2">
      <c r="A10" t="s">
        <v>5</v>
      </c>
      <c r="B10" t="s">
        <v>33</v>
      </c>
      <c r="C10" t="s">
        <v>38</v>
      </c>
      <c r="D10" t="s">
        <v>11</v>
      </c>
      <c r="E10" t="s">
        <v>15</v>
      </c>
      <c r="G10">
        <v>6000</v>
      </c>
      <c r="H10" t="s">
        <v>43</v>
      </c>
      <c r="I10" t="s">
        <v>21</v>
      </c>
      <c r="J10" t="s">
        <v>25</v>
      </c>
      <c r="K10" t="s">
        <v>45</v>
      </c>
      <c r="N10" t="s">
        <v>27</v>
      </c>
    </row>
    <row r="11" spans="1:14" x14ac:dyDescent="0.2">
      <c r="A11" t="s">
        <v>6</v>
      </c>
      <c r="B11" t="s">
        <v>33</v>
      </c>
      <c r="C11" t="s">
        <v>38</v>
      </c>
      <c r="D11" t="s">
        <v>11</v>
      </c>
      <c r="E11" t="s">
        <v>14</v>
      </c>
      <c r="F11" t="s">
        <v>12</v>
      </c>
      <c r="G11">
        <f>SUM(3600+4500)</f>
        <v>8100</v>
      </c>
      <c r="H11" t="s">
        <v>43</v>
      </c>
      <c r="I11" t="s">
        <v>22</v>
      </c>
      <c r="J11" t="s">
        <v>25</v>
      </c>
      <c r="K11" t="s">
        <v>45</v>
      </c>
      <c r="N11" t="s">
        <v>27</v>
      </c>
    </row>
    <row r="13" spans="1:14" x14ac:dyDescent="0.2">
      <c r="A13" t="s">
        <v>41</v>
      </c>
    </row>
    <row r="14" spans="1:14" x14ac:dyDescent="0.2">
      <c r="A14" t="s">
        <v>0</v>
      </c>
      <c r="B14" t="s">
        <v>32</v>
      </c>
      <c r="C14" t="s">
        <v>1</v>
      </c>
      <c r="D14" t="s">
        <v>9</v>
      </c>
      <c r="E14" t="s">
        <v>10</v>
      </c>
      <c r="F14" t="s">
        <v>10</v>
      </c>
      <c r="G14" t="s">
        <v>13</v>
      </c>
      <c r="H14" t="s">
        <v>35</v>
      </c>
      <c r="I14" t="s">
        <v>2</v>
      </c>
      <c r="J14" t="s">
        <v>24</v>
      </c>
      <c r="L14" t="s">
        <v>30</v>
      </c>
      <c r="M14" t="s">
        <v>24</v>
      </c>
      <c r="N14" t="s">
        <v>24</v>
      </c>
    </row>
    <row r="15" spans="1:14" x14ac:dyDescent="0.2">
      <c r="A15" t="s">
        <v>7</v>
      </c>
      <c r="B15" t="s">
        <v>33</v>
      </c>
      <c r="C15" t="s">
        <v>39</v>
      </c>
      <c r="D15" t="s">
        <v>11</v>
      </c>
      <c r="E15" t="s">
        <v>18</v>
      </c>
      <c r="G15">
        <v>25200</v>
      </c>
      <c r="H15" t="s">
        <v>43</v>
      </c>
      <c r="J15" t="s">
        <v>28</v>
      </c>
      <c r="K15" t="s">
        <v>45</v>
      </c>
      <c r="L15" t="s">
        <v>31</v>
      </c>
      <c r="M15" t="s">
        <v>36</v>
      </c>
      <c r="N15" t="s">
        <v>27</v>
      </c>
    </row>
    <row r="16" spans="1:14" x14ac:dyDescent="0.2">
      <c r="A16" t="s">
        <v>8</v>
      </c>
      <c r="B16" t="s">
        <v>33</v>
      </c>
      <c r="C16" t="s">
        <v>40</v>
      </c>
      <c r="D16" t="s">
        <v>16</v>
      </c>
      <c r="E16" t="s">
        <v>17</v>
      </c>
      <c r="F16" t="s">
        <v>34</v>
      </c>
      <c r="G16">
        <f>SUM(900+20400)</f>
        <v>21300</v>
      </c>
      <c r="H16" t="s">
        <v>44</v>
      </c>
      <c r="I16" t="s">
        <v>23</v>
      </c>
      <c r="J16" t="s">
        <v>26</v>
      </c>
      <c r="L16" t="s">
        <v>29</v>
      </c>
      <c r="N1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pmc04_cluster_profile_status_01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Rohn Wood</dc:creator>
  <cp:lastModifiedBy>Rohn Wood</cp:lastModifiedBy>
  <dcterms:created xsi:type="dcterms:W3CDTF">2026-05-13T21:54:17Z</dcterms:created>
  <dcterms:modified xsi:type="dcterms:W3CDTF">2026-05-13T22:58:11Z</dcterms:modified>
</cp:coreProperties>
</file>